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XLOOKUP 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<sst xmlns="http://schemas.openxmlformats.org/spreadsheetml/2006/main" count="131" uniqueCount="110">
  <si>
    <t>Task 1 – Flipkart Products: XLOOKUP by Product ID</t>
  </si>
  <si>
    <t>Product ID</t>
  </si>
  <si>
    <t>Product Name</t>
  </si>
  <si>
    <t>Category</t>
  </si>
  <si>
    <t>Price (₹)</t>
  </si>
  <si>
    <t>Lookup table</t>
  </si>
  <si>
    <t>FK101</t>
  </si>
  <si>
    <t>Wireless Mouse</t>
  </si>
  <si>
    <t>Electronics</t>
  </si>
  <si>
    <t>Product Name (XLOOKUP)</t>
  </si>
  <si>
    <t>FK102</t>
  </si>
  <si>
    <t>Bluetooth Speaker</t>
  </si>
  <si>
    <t>FK103</t>
  </si>
  <si>
    <t>Cotton T-Shirt</t>
  </si>
  <si>
    <t>Clothing</t>
  </si>
  <si>
    <t>FK107</t>
  </si>
  <si>
    <t>FK104</t>
  </si>
  <si>
    <t>Laptop Stand</t>
  </si>
  <si>
    <t>Accessories</t>
  </si>
  <si>
    <t>FK110</t>
  </si>
  <si>
    <t>FK105</t>
  </si>
  <si>
    <t>Water Bottle</t>
  </si>
  <si>
    <t>Home &amp; Kitchen</t>
  </si>
  <si>
    <t>FK106</t>
  </si>
  <si>
    <t>Running Shoes</t>
  </si>
  <si>
    <t>Footwear</t>
  </si>
  <si>
    <t>Power Bank</t>
  </si>
  <si>
    <t>FK108</t>
  </si>
  <si>
    <t>Backpack</t>
  </si>
  <si>
    <t>Bags</t>
  </si>
  <si>
    <t>Formula example</t>
  </si>
  <si>
    <t>FK109</t>
  </si>
  <si>
    <t>Desk Lamp</t>
  </si>
  <si>
    <t>Smart Watch</t>
  </si>
  <si>
    <t>Task 2 – Zomato Orders: Last Amount for a Restaurant</t>
  </si>
  <si>
    <t>Order ID</t>
  </si>
  <si>
    <t>Restaurant Name</t>
  </si>
  <si>
    <t>Order Date</t>
  </si>
  <si>
    <t>Amount (₹)</t>
  </si>
  <si>
    <t>Restaurant to search</t>
  </si>
  <si>
    <t>Spice Garden</t>
  </si>
  <si>
    <t>ZOM201</t>
  </si>
  <si>
    <t>Last order amount</t>
  </si>
  <si>
    <t>ZOM202</t>
  </si>
  <si>
    <t>Pizza Corner</t>
  </si>
  <si>
    <t>ZOM203</t>
  </si>
  <si>
    <t>Formula</t>
  </si>
  <si>
    <t>ZOM204</t>
  </si>
  <si>
    <t>Burger Hub</t>
  </si>
  <si>
    <t>ZOM205</t>
  </si>
  <si>
    <t>ZOM206</t>
  </si>
  <si>
    <t>Task 3 – Spotify Playlists: Search by Genre</t>
  </si>
  <si>
    <t>Playlist Name</t>
  </si>
  <si>
    <t>Genre</t>
  </si>
  <si>
    <t>Created By</t>
  </si>
  <si>
    <t>Number of Songs</t>
  </si>
  <si>
    <t>Genre to search</t>
  </si>
  <si>
    <t>Indie</t>
  </si>
  <si>
    <t>Late Night Vibes</t>
  </si>
  <si>
    <t>Pop</t>
  </si>
  <si>
    <t>Aarav</t>
  </si>
  <si>
    <t>Playlist name</t>
  </si>
  <si>
    <t>Indie Discoveries</t>
  </si>
  <si>
    <t>Meera</t>
  </si>
  <si>
    <t>Workout Mix</t>
  </si>
  <si>
    <t>EDM</t>
  </si>
  <si>
    <t>Rohan</t>
  </si>
  <si>
    <t>Try a missing genre</t>
  </si>
  <si>
    <t>Jazz</t>
  </si>
  <si>
    <t>Acoustic Mornings</t>
  </si>
  <si>
    <t>Acoustic</t>
  </si>
  <si>
    <t>Ananya</t>
  </si>
  <si>
    <t>Result</t>
  </si>
  <si>
    <t>Golden Oldies</t>
  </si>
  <si>
    <t>Classics</t>
  </si>
  <si>
    <t>Kavya</t>
  </si>
  <si>
    <t>Task 4 – IRCTC Bookings: Status by Booking ID</t>
  </si>
  <si>
    <t>Booking ID</t>
  </si>
  <si>
    <t>Passenger Name</t>
  </si>
  <si>
    <t>Train Number</t>
  </si>
  <si>
    <t>Status</t>
  </si>
  <si>
    <t>Booking ID to search</t>
  </si>
  <si>
    <t>IR9999</t>
  </si>
  <si>
    <t>IR1001</t>
  </si>
  <si>
    <t>Anjali Mehta</t>
  </si>
  <si>
    <t>Confirmed</t>
  </si>
  <si>
    <t>Without if_not_found</t>
  </si>
  <si>
    <t>IR1002</t>
  </si>
  <si>
    <t>Ravi Patel</t>
  </si>
  <si>
    <t>Waitlisted</t>
  </si>
  <si>
    <t>With if_not_found</t>
  </si>
  <si>
    <t>IR1003</t>
  </si>
  <si>
    <t>Priya Shah</t>
  </si>
  <si>
    <t>Cancelled</t>
  </si>
  <si>
    <t>IR1004</t>
  </si>
  <si>
    <t>Vishal Patel</t>
  </si>
  <si>
    <t>Formula with message</t>
  </si>
  <si>
    <t>Task 5 – Myntra Orders: Delivery Date by Order ID</t>
  </si>
  <si>
    <t>Product</t>
  </si>
  <si>
    <t>Delivery Date</t>
  </si>
  <si>
    <t>Order ID to search</t>
  </si>
  <si>
    <t>MY503</t>
  </si>
  <si>
    <t>MY501</t>
  </si>
  <si>
    <t>Kurta</t>
  </si>
  <si>
    <t>Delivery date</t>
  </si>
  <si>
    <t>MY502</t>
  </si>
  <si>
    <t>Sneakers</t>
  </si>
  <si>
    <t>Handbag</t>
  </si>
  <si>
    <t>MY504</t>
  </si>
  <si>
    <t>Jeans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</si>
</sst>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4">
    <font>
      <sz val="11"/>
      <color theme="1"/>
      <name val="Calibri"/>
      <charset val="134"/>
      <scheme val="minor"/>
    </font>
    <font>
      <b/>
      <sz val="12"/>
      <color rgb="FF1F1F1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8000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180" fontId="0" fillId="0" borderId="1" xfId="0" applyNumberForma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showGridLines="0" tabSelected="1" workbookViewId="0">
      <pane ySplit="2" topLeftCell="A23" activePane="bottomLeft" state="frozen"/>
      <selection/>
      <selection pane="bottomLeft" activeCell="G46" sqref="G46"/>
    </sheetView>
  </sheetViews>
  <sheetFormatPr defaultColWidth="9" defaultRowHeight="14.4" outlineLevelCol="6"/>
  <cols>
    <col min="1" max="1" width="32" customWidth="1"/>
    <col min="2" max="2" width="25" customWidth="1"/>
    <col min="3" max="4" width="20" customWidth="1"/>
    <col min="5" max="5" width="4" customWidth="1"/>
    <col min="6" max="6" width="27" customWidth="1"/>
    <col min="7" max="7" width="62" customWidth="1"/>
  </cols>
  <sheetData>
    <row r="1" ht="31.2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F2" s="3" t="s">
        <v>5</v>
      </c>
    </row>
    <row r="3" spans="1:7">
      <c r="A3" s="3" t="s">
        <v>6</v>
      </c>
      <c r="B3" s="3" t="s">
        <v>7</v>
      </c>
      <c r="C3" s="3" t="s">
        <v>8</v>
      </c>
      <c r="D3" s="3">
        <v>799</v>
      </c>
      <c r="F3" s="3" t="s">
        <v>1</v>
      </c>
      <c r="G3" s="3" t="s">
        <v>9</v>
      </c>
    </row>
    <row r="4" spans="1:7">
      <c r="A4" s="3" t="s">
        <v>10</v>
      </c>
      <c r="B4" s="3" t="s">
        <v>11</v>
      </c>
      <c r="C4" s="3" t="s">
        <v>8</v>
      </c>
      <c r="D4" s="3">
        <v>1499</v>
      </c>
      <c r="F4" s="3" t="s">
        <v>12</v>
      </c>
      <c r="G4" s="4" t="str">
        <f>_xlfn.XLOOKUP(F4,$A$3:$A$12,$B$3:$B$12,"Product ID not found")</f>
        <v>Cotton T-Shirt</v>
      </c>
    </row>
    <row r="5" spans="1:7">
      <c r="A5" s="3" t="s">
        <v>12</v>
      </c>
      <c r="B5" s="3" t="s">
        <v>13</v>
      </c>
      <c r="C5" s="3" t="s">
        <v>14</v>
      </c>
      <c r="D5" s="3">
        <v>499</v>
      </c>
      <c r="F5" s="3" t="s">
        <v>15</v>
      </c>
      <c r="G5" s="4" t="str">
        <f>_xlfn.XLOOKUP(F5,$A$3:$A$12,$B$3:$B$12,"Product ID not found")</f>
        <v>Power Bank</v>
      </c>
    </row>
    <row r="6" spans="1:7">
      <c r="A6" s="3" t="s">
        <v>16</v>
      </c>
      <c r="B6" s="3" t="s">
        <v>17</v>
      </c>
      <c r="C6" s="3" t="s">
        <v>18</v>
      </c>
      <c r="D6" s="3">
        <v>1199</v>
      </c>
      <c r="F6" s="3" t="s">
        <v>19</v>
      </c>
      <c r="G6" s="4" t="str">
        <f>_xlfn.XLOOKUP(F6,$A$3:$A$12,$B$3:$B$12,"Product ID not found")</f>
        <v>Smart Watch</v>
      </c>
    </row>
    <row r="7" spans="1:7">
      <c r="A7" s="3" t="s">
        <v>20</v>
      </c>
      <c r="B7" s="3" t="s">
        <v>21</v>
      </c>
      <c r="C7" s="3" t="s">
        <v>22</v>
      </c>
      <c r="D7" s="3">
        <v>299</v>
      </c>
      <c r="F7" s="3" t="s">
        <v>6</v>
      </c>
      <c r="G7" s="4" t="str">
        <f>_xlfn.XLOOKUP(F7,$A$3:$A$12,$B$3:$B$12,"Product ID not found")</f>
        <v>Wireless Mouse</v>
      </c>
    </row>
    <row r="8" spans="1:7">
      <c r="A8" s="3" t="s">
        <v>23</v>
      </c>
      <c r="B8" s="3" t="s">
        <v>24</v>
      </c>
      <c r="C8" s="3" t="s">
        <v>25</v>
      </c>
      <c r="D8" s="3">
        <v>2199</v>
      </c>
      <c r="F8" s="3" t="s">
        <v>20</v>
      </c>
      <c r="G8" s="4" t="str">
        <f>_xlfn.XLOOKUP(F8,$A$3:$A$12,$B$3:$B$12,"Product ID not found")</f>
        <v>Water Bottle</v>
      </c>
    </row>
    <row r="9" spans="1:7">
      <c r="A9" s="3" t="s">
        <v>15</v>
      </c>
      <c r="B9" s="3" t="s">
        <v>26</v>
      </c>
      <c r="C9" s="3" t="s">
        <v>8</v>
      </c>
      <c r="D9" s="3">
        <v>1799</v>
      </c>
    </row>
    <row r="10" spans="1:7">
      <c r="A10" s="3" t="s">
        <v>27</v>
      </c>
      <c r="B10" s="3" t="s">
        <v>28</v>
      </c>
      <c r="C10" s="3" t="s">
        <v>29</v>
      </c>
      <c r="D10" s="3">
        <v>999</v>
      </c>
      <c r="F10" s="3" t="s">
        <v>30</v>
      </c>
      <c r="G10" s="4" t="str">
        <f>_xlfn.XLOOKUP(F4,$A$3:$A$12,$B$3:$B$12,"Product ID not found")</f>
        <v>Cotton T-Shirt</v>
      </c>
    </row>
    <row r="11" spans="1:7">
      <c r="A11" s="3" t="s">
        <v>31</v>
      </c>
      <c r="B11" s="3" t="s">
        <v>32</v>
      </c>
      <c r="C11" s="3" t="s">
        <v>22</v>
      </c>
      <c r="D11" s="3">
        <v>649</v>
      </c>
    </row>
    <row r="12" spans="1:7">
      <c r="A12" s="3" t="s">
        <v>19</v>
      </c>
      <c r="B12" s="3" t="s">
        <v>33</v>
      </c>
      <c r="C12" s="3" t="s">
        <v>8</v>
      </c>
      <c r="D12" s="3">
        <v>3299</v>
      </c>
    </row>
    <row r="15" ht="31.2" spans="1:7">
      <c r="A15" s="1" t="s">
        <v>34</v>
      </c>
    </row>
    <row r="16" spans="1:7">
      <c r="A16" s="2" t="s">
        <v>35</v>
      </c>
      <c r="B16" s="2" t="s">
        <v>36</v>
      </c>
      <c r="C16" s="2" t="s">
        <v>37</v>
      </c>
      <c r="D16" s="2" t="s">
        <v>38</v>
      </c>
      <c r="F16" s="3" t="s">
        <v>39</v>
      </c>
      <c r="G16" s="3" t="s">
        <v>40</v>
      </c>
    </row>
    <row r="17" spans="1:7">
      <c r="A17" s="3" t="s">
        <v>41</v>
      </c>
      <c r="B17" s="3" t="s">
        <v>40</v>
      </c>
      <c r="C17" s="5">
        <v>46277</v>
      </c>
      <c r="D17" s="3">
        <v>420</v>
      </c>
      <c r="F17" s="3" t="s">
        <v>42</v>
      </c>
      <c r="G17" s="4">
        <f>_xlfn.XLOOKUP(G16,$B$17:$B$22,$D$17:$D$22,"No orders found",0,-1)</f>
        <v>575</v>
      </c>
    </row>
    <row r="18" spans="1:7">
      <c r="A18" s="3" t="s">
        <v>43</v>
      </c>
      <c r="B18" s="3" t="s">
        <v>44</v>
      </c>
      <c r="C18" s="5">
        <v>46278</v>
      </c>
      <c r="D18" s="3">
        <v>650</v>
      </c>
    </row>
    <row r="19" spans="1:7">
      <c r="A19" s="3" t="s">
        <v>45</v>
      </c>
      <c r="B19" s="3" t="s">
        <v>40</v>
      </c>
      <c r="C19" s="5">
        <v>46284</v>
      </c>
      <c r="D19" s="3">
        <v>510</v>
      </c>
      <c r="F19" s="3" t="s">
        <v>46</v>
      </c>
      <c r="G19" s="4">
        <f>_xlfn.XLOOKUP(G16,$B$17:$B$22,$D$17:$D$22,"No orders found",0,-1)</f>
        <v>575</v>
      </c>
    </row>
    <row r="20" spans="1:7">
      <c r="A20" s="3" t="s">
        <v>47</v>
      </c>
      <c r="B20" s="3" t="s">
        <v>48</v>
      </c>
      <c r="C20" s="5">
        <v>46286</v>
      </c>
      <c r="D20" s="3">
        <v>380</v>
      </c>
    </row>
    <row r="21" spans="1:7">
      <c r="A21" s="3" t="s">
        <v>49</v>
      </c>
      <c r="B21" s="3" t="s">
        <v>40</v>
      </c>
      <c r="C21" s="5">
        <v>46297</v>
      </c>
      <c r="D21" s="3">
        <v>575</v>
      </c>
    </row>
    <row r="22" spans="1:7">
      <c r="A22" s="3" t="s">
        <v>50</v>
      </c>
      <c r="B22" s="3" t="s">
        <v>44</v>
      </c>
      <c r="C22" s="5">
        <v>46299</v>
      </c>
      <c r="D22" s="3">
        <v>720</v>
      </c>
    </row>
    <row r="25" ht="31.2" spans="1:7">
      <c r="A25" s="1" t="s">
        <v>51</v>
      </c>
    </row>
    <row r="26" spans="1:7">
      <c r="A26" s="2" t="s">
        <v>52</v>
      </c>
      <c r="B26" s="2" t="s">
        <v>53</v>
      </c>
      <c r="C26" s="2" t="s">
        <v>54</v>
      </c>
      <c r="D26" s="2" t="s">
        <v>55</v>
      </c>
      <c r="F26" s="3" t="s">
        <v>56</v>
      </c>
      <c r="G26" s="3" t="s">
        <v>57</v>
      </c>
    </row>
    <row r="27" spans="1:7">
      <c r="A27" s="3" t="s">
        <v>58</v>
      </c>
      <c r="B27" s="3" t="s">
        <v>59</v>
      </c>
      <c r="C27" s="3" t="s">
        <v>60</v>
      </c>
      <c r="D27" s="3">
        <v>42</v>
      </c>
      <c r="F27" s="3" t="s">
        <v>61</v>
      </c>
      <c r="G27" s="4" t="str">
        <f>_xlfn.XLOOKUP(G26,$B$27:$B$31,$A$27:$A$31,"No playlist available")</f>
        <v>Indie Discoveries</v>
      </c>
    </row>
    <row r="28" spans="1:7">
      <c r="A28" s="3" t="s">
        <v>62</v>
      </c>
      <c r="B28" s="3" t="s">
        <v>57</v>
      </c>
      <c r="C28" s="3" t="s">
        <v>63</v>
      </c>
      <c r="D28" s="3">
        <v>35</v>
      </c>
    </row>
    <row r="29" spans="1:7">
      <c r="A29" s="3" t="s">
        <v>64</v>
      </c>
      <c r="B29" s="3" t="s">
        <v>65</v>
      </c>
      <c r="C29" s="3" t="s">
        <v>66</v>
      </c>
      <c r="D29" s="3">
        <v>55</v>
      </c>
      <c r="F29" s="3" t="s">
        <v>67</v>
      </c>
      <c r="G29" s="3" t="s">
        <v>68</v>
      </c>
    </row>
    <row r="30" spans="1:7">
      <c r="A30" s="3" t="s">
        <v>69</v>
      </c>
      <c r="B30" s="3" t="s">
        <v>70</v>
      </c>
      <c r="C30" s="3" t="s">
        <v>71</v>
      </c>
      <c r="D30" s="3">
        <v>28</v>
      </c>
      <c r="F30" s="3" t="s">
        <v>72</v>
      </c>
      <c r="G30" s="4" t="str">
        <f>_xlfn.XLOOKUP(G29,$B$27:$B$31,$A$27:$A$31,"No playlist available")</f>
        <v>No playlist available</v>
      </c>
    </row>
    <row r="31" spans="1:7">
      <c r="A31" s="3" t="s">
        <v>73</v>
      </c>
      <c r="B31" s="3" t="s">
        <v>74</v>
      </c>
      <c r="C31" s="3" t="s">
        <v>75</v>
      </c>
      <c r="D31" s="3">
        <v>60</v>
      </c>
    </row>
    <row r="32" spans="1:7">
      <c r="F32" s="3" t="s">
        <v>46</v>
      </c>
      <c r="G32" s="4" t="str">
        <f>_xlfn.XLOOKUP(G26,$B$27:$B$31,$A$27:$A$31,"No playlist available")</f>
        <v>Indie Discoveries</v>
      </c>
    </row>
    <row r="35" ht="31.2" spans="1:7">
      <c r="A35" s="1" t="s">
        <v>76</v>
      </c>
    </row>
    <row r="36" spans="1:7">
      <c r="A36" s="2" t="s">
        <v>77</v>
      </c>
      <c r="B36" s="2" t="s">
        <v>78</v>
      </c>
      <c r="C36" s="2" t="s">
        <v>79</v>
      </c>
      <c r="D36" s="2" t="s">
        <v>80</v>
      </c>
      <c r="F36" s="3" t="s">
        <v>81</v>
      </c>
      <c r="G36" s="3" t="s">
        <v>82</v>
      </c>
    </row>
    <row r="37" spans="1:7">
      <c r="A37" s="3" t="s">
        <v>83</v>
      </c>
      <c r="B37" s="3" t="s">
        <v>84</v>
      </c>
      <c r="C37" s="3">
        <v>12951</v>
      </c>
      <c r="D37" s="3" t="s">
        <v>85</v>
      </c>
      <c r="F37" s="3" t="s">
        <v>86</v>
      </c>
      <c r="G37" s="4" t="e">
        <f>_xlfn.XLOOKUP(G36,$A$37:$A$40,$D$37:$D$40)</f>
        <v>#N/A</v>
      </c>
    </row>
    <row r="38" spans="1:7">
      <c r="A38" s="3" t="s">
        <v>87</v>
      </c>
      <c r="B38" s="3" t="s">
        <v>88</v>
      </c>
      <c r="C38" s="3">
        <v>19019</v>
      </c>
      <c r="D38" s="3" t="s">
        <v>89</v>
      </c>
      <c r="F38" s="3" t="s">
        <v>90</v>
      </c>
      <c r="G38" s="4" t="str">
        <f>_xlfn.XLOOKUP(G36,$A$37:$A$40,$D$37:$D$40,"Booking Not Found")</f>
        <v>Booking Not Found</v>
      </c>
    </row>
    <row r="39" spans="1:7">
      <c r="A39" s="3" t="s">
        <v>91</v>
      </c>
      <c r="B39" s="3" t="s">
        <v>92</v>
      </c>
      <c r="C39" s="3">
        <v>12009</v>
      </c>
      <c r="D39" s="3" t="s">
        <v>93</v>
      </c>
    </row>
    <row r="40" spans="1:7">
      <c r="A40" s="3" t="s">
        <v>94</v>
      </c>
      <c r="B40" s="3" t="s">
        <v>95</v>
      </c>
      <c r="C40" s="3">
        <v>12952</v>
      </c>
      <c r="D40" s="3" t="s">
        <v>85</v>
      </c>
      <c r="F40" s="3" t="s">
        <v>96</v>
      </c>
      <c r="G40" s="4" t="str">
        <f>_xlfn.XLOOKUP(G36,$A$37:$A$40,$D$37:$D$40,"Booking Not Found")</f>
        <v>Booking Not Found</v>
      </c>
    </row>
    <row r="44" ht="31.2" spans="1:7">
      <c r="A44" s="1" t="s">
        <v>97</v>
      </c>
    </row>
    <row r="45" spans="1:7">
      <c r="A45" s="2" t="s">
        <v>35</v>
      </c>
      <c r="B45" s="2" t="s">
        <v>98</v>
      </c>
      <c r="C45" s="2" t="s">
        <v>37</v>
      </c>
      <c r="D45" s="2" t="s">
        <v>99</v>
      </c>
      <c r="F45" s="3" t="s">
        <v>100</v>
      </c>
      <c r="G45" s="3" t="s">
        <v>101</v>
      </c>
    </row>
    <row r="46" spans="1:7">
      <c r="A46" s="3" t="s">
        <v>102</v>
      </c>
      <c r="B46" s="3" t="s">
        <v>103</v>
      </c>
      <c r="C46" s="5">
        <v>46296</v>
      </c>
      <c r="D46" s="5">
        <v>46300</v>
      </c>
      <c r="F46" s="3" t="s">
        <v>104</v>
      </c>
      <c r="G46" s="4">
        <f>_xlfn.XLOOKUP(G45,$A$46:$A$49,$D$46:$D$49,"Order ID not found")</f>
        <v>46307</v>
      </c>
    </row>
    <row r="47" spans="1:7">
      <c r="A47" s="3" t="s">
        <v>105</v>
      </c>
      <c r="B47" s="3" t="s">
        <v>106</v>
      </c>
      <c r="C47" s="5">
        <v>46298</v>
      </c>
      <c r="D47" s="5">
        <v>46303</v>
      </c>
    </row>
    <row r="48" spans="1:7">
      <c r="A48" s="3" t="s">
        <v>101</v>
      </c>
      <c r="B48" s="3" t="s">
        <v>107</v>
      </c>
      <c r="C48" s="5">
        <v>46302</v>
      </c>
      <c r="D48" s="5">
        <v>46307</v>
      </c>
      <c r="F48" s="3" t="s">
        <v>46</v>
      </c>
      <c r="G48" s="4">
        <f>_xlfn.XLOOKUP(G45,$A$46:$A$49,$D$46:$D$49,"Order ID not found")</f>
        <v>46307</v>
      </c>
    </row>
    <row r="49" spans="1:4">
      <c r="A49" s="3" t="s">
        <v>108</v>
      </c>
      <c r="B49" s="3" t="s">
        <v>109</v>
      </c>
      <c r="C49" s="5">
        <v>46305</v>
      </c>
      <c r="D49" s="5">
        <v>46309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XLOOKUP 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Jiya Soni</cp:lastModifiedBy>
  <dcterms:created xsi:type="dcterms:W3CDTF">2026-10-27T17:44:00Z</dcterms:created>
  <dcterms:modified xsi:type="dcterms:W3CDTF">2026-10-27T17:45:16Z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24BCA9006DF44397924F91334B4D711F_12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