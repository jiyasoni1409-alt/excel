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Lookup 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<sst xmlns="http://schemas.openxmlformats.org/spreadsheetml/2006/main" count="87" uniqueCount="70">
  <si>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Task 1 – Flipkart Products (VLOOKUP)</t>
  </si>
  <si>
    <t/>
  </si>
  <si>
    <t>Product Name</t>
  </si>
  <si>
    <t>Price (₹)</t>
  </si>
  <si>
    <t>Enter product name</t>
  </si>
  <si>
    <t>VLOOKUP result (₹)</t>
  </si>
  <si>
    <t>Wireless Mouse</t>
  </si>
  <si>
    <t>Bluetooth Speaker</t>
  </si>
  <si>
    <t>USB-C Cable</t>
  </si>
  <si>
    <t>Formula</t>
  </si>
  <si>
    <t>Laptop Stand</t>
  </si>
  <si>
    <t>Power Bank</t>
  </si>
  <si>
    <t>Mechanical Keyboard</t>
  </si>
  <si>
    <t>Phone Case</t>
  </si>
  <si>
    <t>Smart Watch</t>
  </si>
  <si>
    <t>Earbuds</t>
  </si>
  <si>
    <t>Webcam</t>
  </si>
  <si>
    <t>Task 2 – Zomato-Style Menu (HLOOKUP)</t>
  </si>
  <si>
    <t>Dish</t>
  </si>
  <si>
    <t>Paneer Tikka</t>
  </si>
  <si>
    <t>Masala Dosa</t>
  </si>
  <si>
    <t>Veg Biryani</t>
  </si>
  <si>
    <t>Margherita Pizza</t>
  </si>
  <si>
    <t>Chole Bhature</t>
  </si>
  <si>
    <t>Hakka Noodles</t>
  </si>
  <si>
    <t>Butter Chicken</t>
  </si>
  <si>
    <t>Gulab Jamun</t>
  </si>
  <si>
    <t>Rating</t>
  </si>
  <si>
    <t>Enter dish name</t>
  </si>
  <si>
    <t>HLOOKUP rating</t>
  </si>
  <si>
    <t>Task 3 – Instagram Users (VLOOKUP approximate match TRUE)</t>
  </si>
  <si>
    <t>Username</t>
  </si>
  <si>
    <t>Mobile Number</t>
  </si>
  <si>
    <t>Aarav</t>
  </si>
  <si>
    <t>9876500001</t>
  </si>
  <si>
    <t>Aditi</t>
  </si>
  <si>
    <t>9876500002</t>
  </si>
  <si>
    <t>Ananya</t>
  </si>
  <si>
    <t>9876500003</t>
  </si>
  <si>
    <t>Arjun</t>
  </si>
  <si>
    <t>9876500004</t>
  </si>
  <si>
    <t>Ishaan</t>
  </si>
  <si>
    <t>9876500005</t>
  </si>
  <si>
    <t>Kavya</t>
  </si>
  <si>
    <t>9876500006</t>
  </si>
  <si>
    <t>Meera</t>
  </si>
  <si>
    <t>9876500007</t>
  </si>
  <si>
    <t>Neha</t>
  </si>
  <si>
    <t>9876500008</t>
  </si>
  <si>
    <t>Rohan</t>
  </si>
  <si>
    <t>9876500009</t>
  </si>
  <si>
    <t>Saanvi</t>
  </si>
  <si>
    <t>9876500010</t>
  </si>
  <si>
    <t>Vihaan</t>
  </si>
  <si>
    <t>9876500011</t>
  </si>
  <si>
    <t>Zoya</t>
  </si>
  <si>
    <t>9876500012</t>
  </si>
  <si>
    <t>Search username</t>
  </si>
  <si>
    <t>Anany</t>
  </si>
  <si>
    <t>Approximate result</t>
  </si>
  <si>
    <t>What happens?</t>
  </si>
  <si>
    <t>With TRUE, VLOOKUP assumes the first column is sorted ascending and returns an approximate match: the last username alphabetically less than or equal to the search text. A partial or misspelled name can return the wrong person's number. Use FALSE for exact matching.</t>
  </si>
  <si>
    <t>Task 4 – VLOOKUP Limitation: Lookup Column Not Leftmost</t>
  </si>
  <si>
    <t>Discount (%)</t>
  </si>
  <si>
    <t>Search product</t>
  </si>
  <si>
    <t>Incorrect VLOOKUP</t>
  </si>
  <si>
    <t>Why it fails</t>
  </si>
  <si>
    <t>VLOOKUP searches only the first column of its table range. Here the first column is Discount, not Product Name, so the product name cannot be found. It returns #N/A.</t>
  </si>
  <si>
    <t>Fix</t>
  </si>
  <si>
    <t>Use the original table with Product Name in the leftmost column, or use XLOOKUP / INDEX-MATCH.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</si>
</sst>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rgb="FF1F1F1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800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showGridLines="0" tabSelected="1" workbookViewId="0">
      <pane ySplit="2" topLeftCell="A30" activePane="bottomLeft" state="frozen"/>
      <selection/>
      <selection pane="bottomLeft" activeCell="B42" sqref="B42"/>
    </sheetView>
  </sheetViews>
  <sheetFormatPr defaultColWidth="9" defaultRowHeight="14.4"/>
  <cols>
    <col min="1" max="1" width="38" customWidth="1"/>
    <col min="2" max="2" width="34" customWidth="1"/>
    <col min="3" max="3" width="22" customWidth="1"/>
    <col min="4" max="4" width="24" customWidth="1"/>
    <col min="5" max="5" width="25" customWidth="1"/>
    <col min="6" max="9" width="20" customWidth="1"/>
  </cols>
  <sheetData>
    <row r="1" ht="15.6" spans="1:9">
      <c r="A1" s="1" t="s">
        <v>0</v>
      </c>
      <c r="B1" s="2" t="s">
        <v>1</v>
      </c>
    </row>
    <row r="2" spans="1:9">
      <c r="A2" s="3" t="s">
        <v>2</v>
      </c>
      <c r="B2" s="3" t="s">
        <v>3</v>
      </c>
      <c r="D2" s="2" t="s">
        <v>4</v>
      </c>
      <c r="E2" s="2" t="s">
        <v>5</v>
      </c>
    </row>
    <row r="3" spans="1:9">
      <c r="A3" s="2" t="s">
        <v>6</v>
      </c>
      <c r="B3" s="2">
        <v>799</v>
      </c>
      <c r="D3" s="2" t="s">
        <v>6</v>
      </c>
      <c r="E3" s="4">
        <f>IFERROR(VLOOKUP(D3,$A$3:$B$12,2,FALSE),"Not found")</f>
        <v>799</v>
      </c>
    </row>
    <row r="4" spans="1:9">
      <c r="A4" s="2" t="s">
        <v>7</v>
      </c>
      <c r="B4" s="2">
        <v>1499</v>
      </c>
    </row>
    <row r="5" spans="1:9">
      <c r="A5" s="2" t="s">
        <v>8</v>
      </c>
      <c r="B5" s="2">
        <v>299</v>
      </c>
      <c r="D5" s="2" t="s">
        <v>9</v>
      </c>
      <c r="E5" s="4">
        <f>IFERROR(VLOOKUP(D3,$A$3:$B$12,2,FALSE),"Not found")</f>
        <v>799</v>
      </c>
    </row>
    <row r="6" spans="1:9">
      <c r="A6" s="2" t="s">
        <v>10</v>
      </c>
      <c r="B6" s="2">
        <v>1199</v>
      </c>
    </row>
    <row r="7" spans="1:9">
      <c r="A7" s="2" t="s">
        <v>11</v>
      </c>
      <c r="B7" s="2">
        <v>1799</v>
      </c>
    </row>
    <row r="8" spans="1:9">
      <c r="A8" s="2" t="s">
        <v>12</v>
      </c>
      <c r="B8" s="2">
        <v>2499</v>
      </c>
    </row>
    <row r="9" spans="1:9">
      <c r="A9" s="2" t="s">
        <v>13</v>
      </c>
      <c r="B9" s="2">
        <v>399</v>
      </c>
    </row>
    <row r="10" spans="1:9">
      <c r="A10" s="2" t="s">
        <v>14</v>
      </c>
      <c r="B10" s="2">
        <v>3299</v>
      </c>
    </row>
    <row r="11" spans="1:9">
      <c r="A11" s="2" t="s">
        <v>15</v>
      </c>
      <c r="B11" s="2">
        <v>1999</v>
      </c>
    </row>
    <row r="12" spans="1:9">
      <c r="A12" s="2" t="s">
        <v>16</v>
      </c>
      <c r="B12" s="2">
        <v>2299</v>
      </c>
    </row>
    <row r="15" ht="31.2" spans="1:9">
      <c r="A15" s="1" t="s">
        <v>17</v>
      </c>
    </row>
    <row r="16" spans="1:9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</row>
    <row r="17" spans="1:9">
      <c r="A17" s="2" t="s">
        <v>27</v>
      </c>
      <c r="B17" s="2">
        <v>4.4</v>
      </c>
      <c r="C17" s="2">
        <v>4.2</v>
      </c>
      <c r="D17" s="2">
        <v>4.3</v>
      </c>
      <c r="E17" s="2">
        <v>4.1</v>
      </c>
      <c r="F17" s="2">
        <v>4</v>
      </c>
      <c r="G17" s="2">
        <v>4.2</v>
      </c>
      <c r="H17" s="2">
        <v>4.5</v>
      </c>
      <c r="I17" s="2">
        <v>4.6</v>
      </c>
    </row>
    <row r="19" spans="1:9">
      <c r="A19" s="2" t="s">
        <v>28</v>
      </c>
      <c r="B19" s="2" t="s">
        <v>19</v>
      </c>
      <c r="D19" s="2" t="s">
        <v>29</v>
      </c>
      <c r="E19" s="4" t="str">
        <f>IFERROR(HLOOKUP(B20,$B$16:$I$17,2,FALSE),"Not found")</f>
        <v>Not found</v>
      </c>
    </row>
    <row r="21" spans="1:9">
      <c r="A21" s="2" t="s">
        <v>9</v>
      </c>
      <c r="B21" s="4" t="str">
        <f>IFERROR(HLOOKUP(B20,$B$16:$I$17,2,FALSE),"Not found")</f>
        <v>Not found</v>
      </c>
    </row>
    <row r="25" ht="31.2" spans="1:9">
      <c r="A25" s="1" t="s">
        <v>30</v>
      </c>
    </row>
    <row r="26" spans="1:9">
      <c r="A26" s="3" t="s">
        <v>31</v>
      </c>
      <c r="B26" s="3" t="s">
        <v>32</v>
      </c>
    </row>
    <row r="27" spans="1:9">
      <c r="A27" s="2" t="s">
        <v>33</v>
      </c>
      <c r="B27" s="5" t="s">
        <v>34</v>
      </c>
    </row>
    <row r="28" spans="1:9">
      <c r="A28" s="2" t="s">
        <v>35</v>
      </c>
      <c r="B28" s="5" t="s">
        <v>36</v>
      </c>
    </row>
    <row r="29" spans="1:9">
      <c r="A29" s="2" t="s">
        <v>37</v>
      </c>
      <c r="B29" s="5" t="s">
        <v>38</v>
      </c>
    </row>
    <row r="30" spans="1:9">
      <c r="A30" s="2" t="s">
        <v>39</v>
      </c>
      <c r="B30" s="5" t="s">
        <v>40</v>
      </c>
    </row>
    <row r="31" spans="1:9">
      <c r="A31" s="2" t="s">
        <v>41</v>
      </c>
      <c r="B31" s="5" t="s">
        <v>42</v>
      </c>
    </row>
    <row r="32" spans="1:9">
      <c r="A32" s="2" t="s">
        <v>43</v>
      </c>
      <c r="B32" s="5" t="s">
        <v>44</v>
      </c>
    </row>
    <row r="33" spans="1:3">
      <c r="A33" s="2" t="s">
        <v>45</v>
      </c>
      <c r="B33" s="5" t="s">
        <v>46</v>
      </c>
    </row>
    <row r="34" spans="1:3">
      <c r="A34" s="2" t="s">
        <v>47</v>
      </c>
      <c r="B34" s="5" t="s">
        <v>48</v>
      </c>
    </row>
    <row r="35" spans="1:3">
      <c r="A35" s="2" t="s">
        <v>49</v>
      </c>
      <c r="B35" s="5" t="s">
        <v>50</v>
      </c>
    </row>
    <row r="36" spans="1:3">
      <c r="A36" s="2" t="s">
        <v>51</v>
      </c>
      <c r="B36" s="5" t="s">
        <v>52</v>
      </c>
    </row>
    <row r="37" spans="1:3">
      <c r="A37" s="2" t="s">
        <v>53</v>
      </c>
      <c r="B37" s="5" t="s">
        <v>54</v>
      </c>
    </row>
    <row r="38" spans="1:3">
      <c r="A38" s="2" t="s">
        <v>55</v>
      </c>
      <c r="B38" s="5" t="s">
        <v>56</v>
      </c>
    </row>
    <row r="39" spans="1:3">
      <c r="A39" s="2" t="s">
        <v>57</v>
      </c>
      <c r="B39" s="2" t="s">
        <v>58</v>
      </c>
    </row>
    <row r="40" spans="1:3">
      <c r="A40" s="2" t="s">
        <v>59</v>
      </c>
      <c r="B40" s="4" t="str">
        <f>IFERROR(VLOOKUP(B39,$A$27:$B$38,2,TRUE),"Not found")</f>
        <v>9876500002</v>
      </c>
    </row>
    <row r="42" spans="1:3">
      <c r="A42" s="2" t="s">
        <v>9</v>
      </c>
      <c r="B42" s="4" t="str">
        <f>IFERROR(VLOOKUP(B39,$A$27:$B$38,2,TRUE),"Not found")</f>
        <v>9876500002</v>
      </c>
    </row>
    <row r="44" spans="1:3">
      <c r="A44" s="2" t="s">
        <v>60</v>
      </c>
      <c r="B44" s="2" t="s">
        <v>61</v>
      </c>
    </row>
    <row r="47" ht="31.2" spans="1:3">
      <c r="A47" s="1" t="s">
        <v>62</v>
      </c>
    </row>
    <row r="48" spans="1:3">
      <c r="A48" s="3" t="s">
        <v>63</v>
      </c>
      <c r="B48" s="3" t="s">
        <v>2</v>
      </c>
      <c r="C48" s="3" t="s">
        <v>3</v>
      </c>
    </row>
    <row r="49" spans="1:3">
      <c r="A49" s="2">
        <v>5</v>
      </c>
      <c r="B49" s="2" t="s">
        <v>6</v>
      </c>
      <c r="C49" s="2">
        <v>799</v>
      </c>
    </row>
    <row r="50" spans="1:3">
      <c r="A50" s="2">
        <v>10</v>
      </c>
      <c r="B50" s="2" t="s">
        <v>7</v>
      </c>
      <c r="C50" s="2">
        <v>1499</v>
      </c>
    </row>
    <row r="51" spans="1:3">
      <c r="A51" s="2">
        <v>0</v>
      </c>
      <c r="B51" s="2" t="s">
        <v>8</v>
      </c>
      <c r="C51" s="2">
        <v>299</v>
      </c>
    </row>
    <row r="52" spans="1:3">
      <c r="A52" s="2">
        <v>15</v>
      </c>
      <c r="B52" s="2" t="s">
        <v>10</v>
      </c>
      <c r="C52" s="2">
        <v>1199</v>
      </c>
    </row>
    <row r="53" spans="1:3">
      <c r="A53" s="2">
        <v>8</v>
      </c>
      <c r="B53" s="2" t="s">
        <v>11</v>
      </c>
      <c r="C53" s="2">
        <v>1799</v>
      </c>
    </row>
    <row r="54" spans="1:3">
      <c r="A54" s="2">
        <v>12</v>
      </c>
      <c r="B54" s="2" t="s">
        <v>12</v>
      </c>
      <c r="C54" s="2">
        <v>2499</v>
      </c>
    </row>
    <row r="55" spans="1:3">
      <c r="A55" s="2">
        <v>5</v>
      </c>
      <c r="B55" s="2" t="s">
        <v>13</v>
      </c>
      <c r="C55" s="2">
        <v>399</v>
      </c>
    </row>
    <row r="56" spans="1:3">
      <c r="A56" s="2">
        <v>10</v>
      </c>
      <c r="B56" s="2" t="s">
        <v>14</v>
      </c>
      <c r="C56" s="2">
        <v>3299</v>
      </c>
    </row>
    <row r="57" spans="1:3">
      <c r="A57" s="2">
        <v>7</v>
      </c>
      <c r="B57" s="2" t="s">
        <v>15</v>
      </c>
      <c r="C57" s="2">
        <v>1999</v>
      </c>
    </row>
    <row r="58" spans="1:3">
      <c r="A58" s="2">
        <v>6</v>
      </c>
      <c r="B58" s="2" t="s">
        <v>16</v>
      </c>
      <c r="C58" s="2">
        <v>2299</v>
      </c>
    </row>
    <row r="59" spans="1:3">
      <c r="A59" s="2" t="s">
        <v>64</v>
      </c>
      <c r="B59" s="2" t="s">
        <v>6</v>
      </c>
    </row>
    <row r="60" spans="1:3">
      <c r="A60" s="2" t="s">
        <v>65</v>
      </c>
      <c r="B60" s="4" t="str">
        <f>IFERROR(VLOOKUP(B59,$A$48:$C$57,3,FALSE),"#N/A – Product Name is not the leftmost column")</f>
        <v>#N/A – Product Name is not the leftmost column</v>
      </c>
    </row>
    <row r="62" spans="1:3">
      <c r="A62" s="2" t="s">
        <v>66</v>
      </c>
      <c r="B62" s="2" t="s">
        <v>67</v>
      </c>
    </row>
    <row r="64" spans="1:3">
      <c r="A64" s="2" t="s">
        <v>68</v>
      </c>
      <c r="B64" s="2" t="s">
        <v>69</v>
      </c>
    </row>
  </sheetData>
  <mergeCells count="3">
    <mergeCell ref="B44:F44"/>
    <mergeCell ref="B62:F62"/>
    <mergeCell ref="B64:F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Lookup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2026-10-27T17:39:00Z</dcterms:created>
  <dcterms:modified xsi:type="dcterms:W3CDTF">2026-10-27T17:40:42Z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815EE7EEA3414208873EFC5025699965_12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