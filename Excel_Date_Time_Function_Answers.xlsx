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ate &amp; Time 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<sst xmlns="http://schemas.openxmlformats.org/spreadsheetml/2006/main" count="47" uniqueCount="42">
  <si>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Q1. Current Date and Time</t>
  </si>
  <si>
    <t>Formula</t>
  </si>
  <si>
    <t>Result / Note</t>
  </si>
  <si>
    <t>Current date</t>
  </si>
  <si>
    <t>Updates automatically when Excel recalculates</t>
  </si>
  <si>
    <t>Current date and time</t>
  </si>
  <si>
    <t>Updates automatically; format cell to show date and time</t>
  </si>
  <si>
    <t>Q2. Birthday Parts</t>
  </si>
  <si>
    <t>Birthday</t>
  </si>
  <si>
    <t>Year</t>
  </si>
  <si>
    <t>Month</t>
  </si>
  <si>
    <t>Day</t>
  </si>
  <si>
    <t>Anjali</t>
  </si>
  <si>
    <t>Ravi</t>
  </si>
  <si>
    <t>Priya</t>
  </si>
  <si>
    <t>Vishal</t>
  </si>
  <si>
    <t>Ankur</t>
  </si>
  <si>
    <t>Q3. IPL Match Dates &amp; Working Days</t>
  </si>
  <si>
    <t>Match Date</t>
  </si>
  <si>
    <t>Working Days from Match Date to Today</t>
  </si>
  <si>
    <t>Formula / Note</t>
  </si>
  <si>
    <t>Match 1</t>
  </si>
  <si>
    <t>Match 2</t>
  </si>
  <si>
    <t>Match 3</t>
  </si>
  <si>
    <t>Match 4</t>
  </si>
  <si>
    <t>Match 5</t>
  </si>
  <si>
    <t>Q4. Order Delivery Duration</t>
  </si>
  <si>
    <t>Order Date</t>
  </si>
  <si>
    <t>Delivery Date</t>
  </si>
  <si>
    <t>Days to Deliver</t>
  </si>
  <si>
    <t>Order 1</t>
  </si>
  <si>
    <t>Order 2</t>
  </si>
  <si>
    <t>Order 3</t>
  </si>
  <si>
    <t>Q5. Spotify Account Months</t>
  </si>
  <si>
    <t>Date / Metric</t>
  </si>
  <si>
    <t>Signup date (example)</t>
  </si>
  <si>
    <t/>
  </si>
  <si>
    <t>Replace with your actual signup date</t>
  </si>
  <si>
    <t>Last day of current month</t>
  </si>
  <si>
    <t>Returns the last calendar day of this month</t>
  </si>
  <si>
    <t>Months since signup</t>
  </si>
  <si>
    <t>Whole months from signup date to month-end; update B27 with your signup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</si>
</sst>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dd/mmm/yyyy\ hh:mm:ss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800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180" fontId="2" fillId="0" borderId="1" xfId="0" applyNumberFormat="1" applyFont="1" applyBorder="1" applyAlignment="1">
      <alignment vertical="top" wrapText="1"/>
    </xf>
    <xf numFmtId="181" fontId="2" fillId="0" borderId="1" xfId="0" applyNumberFormat="1" applyFont="1" applyBorder="1" applyAlignment="1">
      <alignment vertical="top" wrapText="1"/>
    </xf>
    <xf numFmtId="180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showGridLines="0" tabSelected="1" workbookViewId="0">
      <pane ySplit="1" topLeftCell="A7" activePane="bottomLeft" state="frozen"/>
      <selection/>
      <selection pane="bottomLeft" activeCell="B31" sqref="B31"/>
    </sheetView>
  </sheetViews>
  <sheetFormatPr defaultColWidth="9" defaultRowHeight="14.4" outlineLevelCol="4"/>
  <cols>
    <col min="1" max="1" width="36" customWidth="1"/>
    <col min="2" max="2" width="22" customWidth="1"/>
    <col min="3" max="3" width="25" customWidth="1"/>
    <col min="4" max="4" width="44" customWidth="1"/>
    <col min="5" max="5" width="18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/>
    </row>
    <row r="2" ht="28.8" spans="1:5">
      <c r="A2" s="2" t="s">
        <v>3</v>
      </c>
      <c r="B2" s="3">
        <f ca="1">TODAY()</f>
        <v>46322</v>
      </c>
      <c r="C2" s="2" t="s">
        <v>4</v>
      </c>
    </row>
    <row r="3" ht="43.2" spans="1:5">
      <c r="A3" s="2" t="s">
        <v>5</v>
      </c>
      <c r="B3" s="4">
        <f ca="1">NOW()</f>
        <v>46322.9448611111</v>
      </c>
      <c r="C3" s="2" t="s">
        <v>6</v>
      </c>
    </row>
    <row r="5" spans="1: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>
      <c r="A6" s="2" t="s">
        <v>12</v>
      </c>
      <c r="B6" s="5">
        <v>36993</v>
      </c>
      <c r="C6" s="6">
        <f>YEAR(B6)</f>
        <v>2001</v>
      </c>
      <c r="D6" s="6">
        <f>MONTH(B6)</f>
        <v>4</v>
      </c>
      <c r="E6" s="6">
        <f>DAY(B6)</f>
        <v>12</v>
      </c>
    </row>
    <row r="7" spans="1:5">
      <c r="A7" s="2" t="s">
        <v>13</v>
      </c>
      <c r="B7" s="5">
        <v>36467</v>
      </c>
      <c r="C7" s="6">
        <f>YEAR(B7)</f>
        <v>1999</v>
      </c>
      <c r="D7" s="6">
        <f>MONTH(B7)</f>
        <v>11</v>
      </c>
      <c r="E7" s="6">
        <f>DAY(B7)</f>
        <v>3</v>
      </c>
    </row>
    <row r="8" spans="1:5">
      <c r="A8" s="2" t="s">
        <v>14</v>
      </c>
      <c r="B8" s="5">
        <v>37827</v>
      </c>
      <c r="C8" s="6">
        <f>YEAR(B8)</f>
        <v>2003</v>
      </c>
      <c r="D8" s="6">
        <f>MONTH(B8)</f>
        <v>7</v>
      </c>
      <c r="E8" s="6">
        <f>DAY(B8)</f>
        <v>25</v>
      </c>
    </row>
    <row r="9" spans="1:5">
      <c r="A9" s="2" t="s">
        <v>15</v>
      </c>
      <c r="B9" s="5">
        <v>36534</v>
      </c>
      <c r="C9" s="6">
        <f>YEAR(B9)</f>
        <v>2000</v>
      </c>
      <c r="D9" s="6">
        <f>MONTH(B9)</f>
        <v>1</v>
      </c>
      <c r="E9" s="6">
        <f>DAY(B9)</f>
        <v>9</v>
      </c>
    </row>
    <row r="10" spans="1:5">
      <c r="A10" s="2" t="s">
        <v>16</v>
      </c>
      <c r="B10" s="5">
        <v>37517</v>
      </c>
      <c r="C10" s="6">
        <f>YEAR(B10)</f>
        <v>2002</v>
      </c>
      <c r="D10" s="6">
        <f>MONTH(B10)</f>
        <v>9</v>
      </c>
      <c r="E10" s="6">
        <f>DAY(B10)</f>
        <v>18</v>
      </c>
    </row>
    <row r="12" ht="28.8" spans="1:5">
      <c r="A12" s="1" t="s">
        <v>17</v>
      </c>
      <c r="B12" s="1" t="s">
        <v>18</v>
      </c>
      <c r="C12" s="1" t="s">
        <v>19</v>
      </c>
      <c r="D12" s="1" t="s">
        <v>20</v>
      </c>
      <c r="E12" s="1"/>
    </row>
    <row r="13" spans="1:5">
      <c r="A13" s="2" t="s">
        <v>21</v>
      </c>
      <c r="B13" s="5">
        <v>46109</v>
      </c>
      <c r="C13" s="6">
        <f ca="1">NETWORKDAYS(B14,TODAY())</f>
        <v>149</v>
      </c>
      <c r="D13" s="6"/>
    </row>
    <row r="14" spans="1:5">
      <c r="A14" s="2" t="s">
        <v>22</v>
      </c>
      <c r="B14" s="5">
        <v>46114</v>
      </c>
      <c r="C14" s="6">
        <f ca="1">NETWORKDAYS(B15,TODAY())</f>
        <v>145</v>
      </c>
      <c r="D14" s="6"/>
    </row>
    <row r="15" spans="1:5">
      <c r="A15" s="2" t="s">
        <v>23</v>
      </c>
      <c r="B15" s="5">
        <v>46120</v>
      </c>
      <c r="C15" s="6">
        <f ca="1">NETWORKDAYS(B16,TODAY())</f>
        <v>140</v>
      </c>
      <c r="D15" s="6"/>
    </row>
    <row r="16" spans="1:5">
      <c r="A16" s="2" t="s">
        <v>24</v>
      </c>
      <c r="B16" s="5">
        <v>46127</v>
      </c>
      <c r="C16" s="6">
        <f ca="1">NETWORKDAYS(B17,TODAY())</f>
        <v>135</v>
      </c>
      <c r="D16" s="6"/>
    </row>
    <row r="17" spans="1:5">
      <c r="A17" s="2" t="s">
        <v>25</v>
      </c>
      <c r="B17" s="5">
        <v>46134</v>
      </c>
      <c r="C17" s="6">
        <f ca="1">NETWORKDAYS(B18,TODAY())</f>
        <v>33087</v>
      </c>
      <c r="D17" s="6"/>
    </row>
    <row r="19" spans="1:5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1</v>
      </c>
    </row>
    <row r="20" spans="1:5">
      <c r="A20" s="2" t="s">
        <v>30</v>
      </c>
      <c r="B20" s="5">
        <v>46296</v>
      </c>
      <c r="C20" s="5">
        <v>46299</v>
      </c>
      <c r="D20" s="6">
        <f>DATEDIF(B21,C21,"d")</f>
        <v>6</v>
      </c>
      <c r="E20" s="6">
        <f>DATEDIF(B21,C21,"d")</f>
        <v>6</v>
      </c>
    </row>
    <row r="21" spans="1:5">
      <c r="A21" s="2" t="s">
        <v>31</v>
      </c>
      <c r="B21" s="5">
        <v>46300</v>
      </c>
      <c r="C21" s="5">
        <v>46306</v>
      </c>
      <c r="D21" s="6">
        <f>DATEDIF(B22,C22,"d")</f>
        <v>3</v>
      </c>
      <c r="E21" s="6">
        <f>DATEDIF(B22,C22,"d")</f>
        <v>3</v>
      </c>
    </row>
    <row r="22" spans="1:5">
      <c r="A22" s="2" t="s">
        <v>32</v>
      </c>
      <c r="B22" s="5">
        <v>46307</v>
      </c>
      <c r="C22" s="5">
        <v>46310</v>
      </c>
      <c r="D22" s="6">
        <f>DATEDIF(B23,C23,"d")</f>
        <v>0</v>
      </c>
      <c r="E22" s="6">
        <f>DATEDIF(B23,C23,"d")</f>
        <v>0</v>
      </c>
    </row>
    <row r="24" spans="1:5">
      <c r="A24" s="1" t="s">
        <v>33</v>
      </c>
      <c r="B24" s="1" t="s">
        <v>34</v>
      </c>
      <c r="C24" s="1" t="s">
        <v>1</v>
      </c>
      <c r="D24" s="1" t="s">
        <v>2</v>
      </c>
      <c r="E24" s="1"/>
    </row>
    <row r="25" spans="1:5">
      <c r="A25" s="2" t="s">
        <v>35</v>
      </c>
      <c r="B25" s="5">
        <v>44727</v>
      </c>
      <c r="C25" s="2" t="s">
        <v>36</v>
      </c>
      <c r="D25" s="2" t="s">
        <v>37</v>
      </c>
    </row>
    <row r="26" spans="1:5">
      <c r="A26" s="2" t="s">
        <v>38</v>
      </c>
      <c r="B26" s="2" t="s">
        <v>36</v>
      </c>
      <c r="C26" s="6">
        <f ca="1">EOMONTH(TODAY(),0)</f>
        <v>46326</v>
      </c>
      <c r="D26" s="2" t="s">
        <v>39</v>
      </c>
    </row>
    <row r="27" ht="28.8" spans="1:5">
      <c r="A27" s="2" t="s">
        <v>40</v>
      </c>
      <c r="B27" s="2" t="s">
        <v>36</v>
      </c>
      <c r="C27" s="6" t="e">
        <f>DATEDIF(B27,C28,"m")</f>
        <v>#VALUE!</v>
      </c>
      <c r="D27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Date &amp; Time 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2026-10-27T17:09:00Z</dcterms:created>
  <dcterms:modified xsi:type="dcterms:W3CDTF">2026-10-27T17:10:44Z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48DBB0C606C342E1AE11FD7F898D823B_12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